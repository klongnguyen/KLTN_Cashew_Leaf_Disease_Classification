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Study\KhoaLuanTotNghiep\Resource\"/>
    </mc:Choice>
  </mc:AlternateContent>
  <xr:revisionPtr revIDLastSave="0" documentId="13_ncr:1_{11822F98-73A2-4A2A-A7E5-3265869AFD67}" xr6:coauthVersionLast="45" xr6:coauthVersionMax="45" xr10:uidLastSave="{00000000-0000-0000-0000-000000000000}"/>
  <bookViews>
    <workbookView xWindow="-103" yWindow="-103" windowWidth="22149" windowHeight="11829" xr2:uid="{00000000-000D-0000-FFFF-FFFF00000000}"/>
  </bookViews>
  <sheets>
    <sheet name="Dataset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" l="1"/>
  <c r="H9" i="1" s="1"/>
  <c r="B10" i="1"/>
  <c r="C9" i="1"/>
  <c r="C8" i="1"/>
  <c r="C7" i="1"/>
  <c r="C6" i="1"/>
  <c r="C10" i="1" s="1"/>
  <c r="H10" i="1" l="1"/>
  <c r="H6" i="1"/>
  <c r="H7" i="1"/>
  <c r="H8" i="1"/>
  <c r="H11" i="1" l="1"/>
</calcChain>
</file>

<file path=xl/sharedStrings.xml><?xml version="1.0" encoding="utf-8"?>
<sst xmlns="http://schemas.openxmlformats.org/spreadsheetml/2006/main" count="20" uniqueCount="12">
  <si>
    <t>PHÂN BỐ DATASET LÁ ĐIỀU</t>
  </si>
  <si>
    <t>DATA BAN ĐẦU</t>
  </si>
  <si>
    <t>DATA CẢI TIẾN</t>
  </si>
  <si>
    <t>Lớp</t>
  </si>
  <si>
    <t>Số lượng</t>
  </si>
  <si>
    <t>Tỷ lệ</t>
  </si>
  <si>
    <t>Anthracnose</t>
  </si>
  <si>
    <t>Healthy</t>
  </si>
  <si>
    <t>Leaf miner</t>
  </si>
  <si>
    <t>Red rust</t>
  </si>
  <si>
    <t>Tổng</t>
  </si>
  <si>
    <t>Not cashew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</si>
</sst>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8"/>
      <color rgb="FFFFFFFF"/>
      <name val="Carlito"/>
    </font>
    <font>
      <b/>
      <sz val="12"/>
      <color rgb="FF1F1F1F"/>
      <name val="Carlito"/>
    </font>
    <font>
      <b/>
      <sz val="11"/>
      <color rgb="FFFFFFFF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rgb="FFEAF2F8"/>
      </patternFill>
    </fill>
    <fill>
      <patternFill patternType="solid">
        <fgColor rgb="FFEAF4E3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vertical="center"/>
    </xf>
    <xf numFmtId="0" fontId="4" fillId="7" borderId="6" xfId="0" applyNumberFormat="1" applyFont="1" applyFill="1" applyBorder="1" applyAlignment="1">
      <alignment vertical="center"/>
    </xf>
    <xf numFmtId="0" fontId="4" fillId="8" borderId="6" xfId="0" applyNumberFormat="1" applyFont="1" applyFill="1" applyBorder="1" applyAlignment="1">
      <alignment vertical="center"/>
    </xf>
    <xf numFmtId="3" fontId="0" fillId="0" borderId="2" xfId="0" applyNumberFormat="1" applyFont="1" applyFill="1" applyBorder="1" applyAlignment="1">
      <alignment horizontal="center" vertical="center"/>
    </xf>
    <xf numFmtId="164" fontId="0" fillId="0" borderId="3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 vertical="center"/>
    </xf>
    <xf numFmtId="164" fontId="0" fillId="0" borderId="5" xfId="0" applyNumberFormat="1" applyFont="1" applyFill="1" applyBorder="1" applyAlignment="1">
      <alignment horizontal="center" vertical="center"/>
    </xf>
    <xf numFmtId="3" fontId="4" fillId="7" borderId="7" xfId="0" applyNumberFormat="1" applyFont="1" applyFill="1" applyBorder="1" applyAlignment="1">
      <alignment horizontal="center" vertical="center"/>
    </xf>
    <xf numFmtId="164" fontId="4" fillId="7" borderId="8" xfId="0" applyNumberFormat="1" applyFont="1" applyFill="1" applyBorder="1" applyAlignment="1">
      <alignment horizontal="center" vertical="center"/>
    </xf>
    <xf numFmtId="3" fontId="4" fillId="8" borderId="7" xfId="0" applyNumberFormat="1" applyFont="1" applyFill="1" applyBorder="1" applyAlignment="1">
      <alignment horizontal="center" vertical="center"/>
    </xf>
    <xf numFmtId="164" fontId="4" fillId="8" borderId="8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/>
    </xf>
    <xf numFmtId="0" fontId="2" fillId="5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vi-VN"/>
              <a:t>Phân bố Data ban đầu (5.596 ảnh)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Số lượng</c:v>
          </c:tx>
          <c:cat>
            <c:strRef>
              <c:f>'Dataset Comparison'!$A$6:$A$9</c:f>
              <c:strCache>
                <c:ptCount val="4"/>
                <c:pt idx="0">
                  <c:v>Anthracnose</c:v>
                </c:pt>
                <c:pt idx="1">
                  <c:v>Healthy</c:v>
                </c:pt>
                <c:pt idx="2">
                  <c:v>Leaf miner</c:v>
                </c:pt>
                <c:pt idx="3">
                  <c:v>Red rust</c:v>
                </c:pt>
              </c:strCache>
            </c:strRef>
          </c:cat>
          <c:val>
            <c:numRef>
              <c:f>'Dataset Comparison'!$B$6:$B$9</c:f>
              <c:numCache>
                <c:formatCode>#,##0</c:formatCode>
                <c:ptCount val="4"/>
                <c:pt idx="0">
                  <c:v>1631</c:v>
                </c:pt>
                <c:pt idx="1">
                  <c:v>1069</c:v>
                </c:pt>
                <c:pt idx="2">
                  <c:v>1215</c:v>
                </c:pt>
                <c:pt idx="3">
                  <c:v>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1-4F2A-97A5-FFD053EBE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vi-VN"/>
              <a:t>Phân bố Data cải tiến (7.</a:t>
            </a:r>
            <a:r>
              <a:rPr lang="en-US"/>
              <a:t>208</a:t>
            </a:r>
            <a:r>
              <a:rPr lang="vi-VN"/>
              <a:t> ảnh)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Số lượng</c:v>
          </c:tx>
          <c:cat>
            <c:strRef>
              <c:f>'Dataset Comparison'!$F$6:$F$10</c:f>
              <c:strCache>
                <c:ptCount val="5"/>
                <c:pt idx="0">
                  <c:v>Anthracnose</c:v>
                </c:pt>
                <c:pt idx="1">
                  <c:v>Healthy</c:v>
                </c:pt>
                <c:pt idx="2">
                  <c:v>Leaf miner</c:v>
                </c:pt>
                <c:pt idx="3">
                  <c:v>Red rust</c:v>
                </c:pt>
                <c:pt idx="4">
                  <c:v>Not cashew</c:v>
                </c:pt>
              </c:strCache>
            </c:strRef>
          </c:cat>
          <c:val>
            <c:numRef>
              <c:f>'Dataset Comparison'!$G$6:$G$10</c:f>
              <c:numCache>
                <c:formatCode>#,##0</c:formatCode>
                <c:ptCount val="5"/>
                <c:pt idx="0">
                  <c:v>1563</c:v>
                </c:pt>
                <c:pt idx="1">
                  <c:v>1171</c:v>
                </c:pt>
                <c:pt idx="2">
                  <c:v>1312</c:v>
                </c:pt>
                <c:pt idx="3">
                  <c:v>1593</c:v>
                </c:pt>
                <c:pt idx="4">
                  <c:v>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1-4C24-A80D-89FA2EA6B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A10" zoomScale="85" zoomScaleNormal="85" workbookViewId="0">
      <selection activeCell="L7" sqref="L7"/>
    </sheetView>
  </sheetViews>
  <sheetFormatPr defaultRowHeight="14.15"/>
  <cols>
    <col min="1" max="1" width="20" customWidth="1"/>
    <col min="2" max="2" width="13" customWidth="1"/>
    <col min="3" max="3" width="12" customWidth="1"/>
    <col min="4" max="5" width="4" customWidth="1"/>
    <col min="6" max="6" width="20" customWidth="1"/>
    <col min="7" max="7" width="13" customWidth="1"/>
    <col min="8" max="14" width="12" customWidth="1"/>
  </cols>
  <sheetData>
    <row r="1" spans="1:14" ht="13.7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3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spans="1:14" ht="15.45">
      <c r="A4" s="16" t="s">
        <v>1</v>
      </c>
      <c r="B4" s="16"/>
      <c r="C4" s="16"/>
      <c r="F4" s="17" t="s">
        <v>2</v>
      </c>
      <c r="G4" s="17"/>
      <c r="H4" s="17"/>
    </row>
    <row r="5" spans="1:14" ht="12" customHeight="1">
      <c r="A5" s="1" t="s">
        <v>3</v>
      </c>
      <c r="B5" s="1" t="s">
        <v>4</v>
      </c>
      <c r="C5" s="1" t="s">
        <v>5</v>
      </c>
      <c r="F5" s="2" t="s">
        <v>3</v>
      </c>
      <c r="G5" s="2" t="s">
        <v>4</v>
      </c>
      <c r="H5" s="2" t="s">
        <v>5</v>
      </c>
    </row>
    <row r="6" spans="1:14" ht="12" customHeight="1">
      <c r="A6" s="3" t="s">
        <v>6</v>
      </c>
      <c r="B6" s="7">
        <v>1631</v>
      </c>
      <c r="C6" s="8">
        <f>B6/$B$10</f>
        <v>0.29145818441744104</v>
      </c>
      <c r="F6" s="3" t="s">
        <v>6</v>
      </c>
      <c r="G6" s="7">
        <v>1563</v>
      </c>
      <c r="H6" s="8">
        <f>G6/$G$11</f>
        <v>0.21675218416308417</v>
      </c>
    </row>
    <row r="7" spans="1:14" ht="12" customHeight="1">
      <c r="A7" s="4" t="s">
        <v>7</v>
      </c>
      <c r="B7" s="9">
        <v>1069</v>
      </c>
      <c r="C7" s="10">
        <f>B7/$B$10</f>
        <v>0.19102930664760542</v>
      </c>
      <c r="F7" s="4" t="s">
        <v>7</v>
      </c>
      <c r="G7" s="9">
        <v>1171</v>
      </c>
      <c r="H7" s="10">
        <f>G7/$G$11</f>
        <v>0.16239079184579117</v>
      </c>
    </row>
    <row r="8" spans="1:14" ht="12" customHeight="1">
      <c r="A8" s="4" t="s">
        <v>8</v>
      </c>
      <c r="B8" s="9">
        <v>1215</v>
      </c>
      <c r="C8" s="10">
        <f>B8/$B$10</f>
        <v>0.21711937097927092</v>
      </c>
      <c r="F8" s="4" t="s">
        <v>8</v>
      </c>
      <c r="G8" s="9">
        <v>1312</v>
      </c>
      <c r="H8" s="10">
        <f>G8/$G$11</f>
        <v>0.18194425183747054</v>
      </c>
    </row>
    <row r="9" spans="1:14" ht="12" customHeight="1">
      <c r="A9" s="4" t="s">
        <v>9</v>
      </c>
      <c r="B9" s="9">
        <v>1681</v>
      </c>
      <c r="C9" s="10">
        <f>B9/$B$10</f>
        <v>0.30039313795568262</v>
      </c>
      <c r="F9" s="4" t="s">
        <v>9</v>
      </c>
      <c r="G9" s="9">
        <v>1593</v>
      </c>
      <c r="H9" s="10">
        <f>G9/$G$11</f>
        <v>0.2209124947996117</v>
      </c>
    </row>
    <row r="10" spans="1:14" ht="12" customHeight="1">
      <c r="A10" s="5" t="s">
        <v>10</v>
      </c>
      <c r="B10" s="11">
        <f>SUM(B6:B9)</f>
        <v>5596</v>
      </c>
      <c r="C10" s="12">
        <f>SUM(C6:C9)</f>
        <v>1</v>
      </c>
      <c r="F10" s="4" t="s">
        <v>11</v>
      </c>
      <c r="G10" s="9">
        <v>1572</v>
      </c>
      <c r="H10" s="10">
        <f>G10/$G$11</f>
        <v>0.21800027735404243</v>
      </c>
    </row>
    <row r="11" spans="1:14" ht="12" customHeight="1">
      <c r="F11" s="6" t="s">
        <v>10</v>
      </c>
      <c r="G11" s="13">
        <f>SUM(G6:G10)</f>
        <v>7211</v>
      </c>
      <c r="H11" s="14">
        <f>SUM(H6:H10)</f>
        <v>1</v>
      </c>
    </row>
  </sheetData>
  <mergeCells count="3">
    <mergeCell ref="A1:N2"/>
    <mergeCell ref="A4:C4"/>
    <mergeCell ref="F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LONG</cp:lastModifiedBy>
  <dcterms:modified xsi:type="dcterms:W3CDTF">2026-09-14T11:54:48Z</dcterms:modified>
</cp:coreProperties>
</file>