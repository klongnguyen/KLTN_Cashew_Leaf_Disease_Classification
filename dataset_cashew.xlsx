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Study\KhoaLuanTotNghiep\Resource\"/>
    </mc:Choice>
  </mc:AlternateContent>
  <xr:revisionPtr revIDLastSave="0" documentId="13_ncr:1_{EACE9A14-105C-4CA2-BC1C-AC28DDF60454}" xr6:coauthVersionLast="45" xr6:coauthVersionMax="45" xr10:uidLastSave="{00000000-0000-0000-0000-000000000000}"/>
  <bookViews>
    <workbookView xWindow="103" yWindow="326" windowWidth="12968" windowHeight="10603" xr2:uid="{00000000-000D-0000-FFFF-FFFF00000000}"/>
  </bookViews>
  <sheets>
    <sheet name="Dataset Comparison" sheetId="1" r:id="rId1"/>
    <sheet name="figure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0" i="1" l="1"/>
  <c r="G11" i="1" l="1"/>
  <c r="H9" i="1" s="1"/>
  <c r="B10" i="1"/>
  <c r="C9" i="1"/>
  <c r="C8" i="1"/>
  <c r="C7" i="1"/>
  <c r="C6" i="1"/>
  <c r="C10" i="1" s="1"/>
  <c r="H10" i="1" l="1"/>
  <c r="H6" i="1"/>
  <c r="H7" i="1"/>
  <c r="H8" i="1"/>
  <c r="H11" i="1" l="1"/>
  <c r="N6" i="1"/>
  <c r="N9" i="1"/>
  <c r="N8" i="1"/>
  <c r="N7" i="1"/>
  <c r="N10" i="1" l="1"/>
</calcChain>
</file>

<file path=xl/sharedStrings.xml><?xml version="1.0" encoding="utf-8"?>
<sst xmlns="http://schemas.openxmlformats.org/spreadsheetml/2006/main" count="254" uniqueCount="179">
  <si>
    <t>PHÂN BỐ DATASET LÁ ĐIỀU</t>
  </si>
  <si>
    <t>DATA BAN ĐẦU</t>
  </si>
  <si>
    <t>DATA CẢI TIẾN</t>
  </si>
  <si>
    <t>Lớp</t>
  </si>
  <si>
    <t>Số lượng</t>
  </si>
  <si>
    <t>Tỷ lệ</t>
  </si>
  <si>
    <t>Anthracnose</t>
  </si>
  <si>
    <t>Healthy</t>
  </si>
  <si>
    <t>Leaf miner</t>
  </si>
  <si>
    <t>Red rust</t>
  </si>
  <si>
    <t>Tổng</t>
  </si>
  <si>
    <t>Not cashew</t>
  </si>
  <si>
    <t>Test Data độc lập</t>
  </si>
  <si>
    <t>Mô hình</t>
  </si>
  <si>
    <t>Accuracy</t>
  </si>
  <si>
    <t>Macro Precision</t>
  </si>
  <si>
    <t>Macro Recall</t>
  </si>
  <si>
    <t>Macro F1</t>
  </si>
  <si>
    <t>Balanced Accuracy</t>
  </si>
  <si>
    <t>ResNet50</t>
  </si>
  <si>
    <t>90.10 ± 1.82%</t>
  </si>
  <si>
    <t>90.42 ± 1.82%</t>
  </si>
  <si>
    <t>90.09 ± 1.79%</t>
  </si>
  <si>
    <t>90.12 ± 1.81%</t>
  </si>
  <si>
    <t>DenseNet121</t>
  </si>
  <si>
    <t>89.00 ± 3.27%</t>
  </si>
  <si>
    <t>90.20 ± 2.03%</t>
  </si>
  <si>
    <t>89.00 ± 3.20%</t>
  </si>
  <si>
    <t>89.22 ± 2.92%</t>
  </si>
  <si>
    <t>ViT</t>
  </si>
  <si>
    <t>85.94 ± 1.22%</t>
  </si>
  <si>
    <t>85.69 ± 1.14%</t>
  </si>
  <si>
    <t>85.93 ± 1.18%</t>
  </si>
  <si>
    <t>85.68 ± 1.18%</t>
  </si>
  <si>
    <t xml:space="preserve">KẾT QUẢ TỔNG THỂ </t>
  </si>
  <si>
    <t>Class</t>
  </si>
  <si>
    <t>Precision</t>
  </si>
  <si>
    <t>Recall</t>
  </si>
  <si>
    <t>F1-score</t>
  </si>
  <si>
    <t>80.69%</t>
  </si>
  <si>
    <t>71.15%</t>
  </si>
  <si>
    <t>75.61 ± 1.67%</t>
  </si>
  <si>
    <t>77.14%</t>
  </si>
  <si>
    <t>86.09%</t>
  </si>
  <si>
    <t>81.34 ± 1.14%</t>
  </si>
  <si>
    <t>Leaf Miner</t>
  </si>
  <si>
    <t>85.28%</t>
  </si>
  <si>
    <t>86.41%</t>
  </si>
  <si>
    <t>85.83 ± 1.93%</t>
  </si>
  <si>
    <t>Not Cashew Leaf</t>
  </si>
  <si>
    <t>96.89%</t>
  </si>
  <si>
    <t>95.29%</t>
  </si>
  <si>
    <t>96.07 ± 1.53%</t>
  </si>
  <si>
    <t>Red Rust</t>
  </si>
  <si>
    <t>88.47%</t>
  </si>
  <si>
    <t>90.69%</t>
  </si>
  <si>
    <t>89.53 ± 1.91%</t>
  </si>
  <si>
    <t>Macro Avg</t>
  </si>
  <si>
    <t>85.69%</t>
  </si>
  <si>
    <t>85.93%</t>
  </si>
  <si>
    <t>Classificasion Report</t>
  </si>
  <si>
    <t>VIT</t>
  </si>
  <si>
    <t>75.26%</t>
  </si>
  <si>
    <t>79.99 ± 4.73%</t>
  </si>
  <si>
    <t>88.55%</t>
  </si>
  <si>
    <t>91.09%</t>
  </si>
  <si>
    <t>89.75 ± 4.14%</t>
  </si>
  <si>
    <t>94.25%</t>
  </si>
  <si>
    <t>87.33%</t>
  </si>
  <si>
    <t>90.50 ± 2.40%</t>
  </si>
  <si>
    <t>97.16%</t>
  </si>
  <si>
    <t>84.97%</t>
  </si>
  <si>
    <t>90.46 ± 6.19%</t>
  </si>
  <si>
    <t>95.76%</t>
  </si>
  <si>
    <t>95.22%</t>
  </si>
  <si>
    <t>95.39 ± 1.73%</t>
  </si>
  <si>
    <t>90.20%</t>
  </si>
  <si>
    <t>89.00%</t>
  </si>
  <si>
    <t>80.74%</t>
  </si>
  <si>
    <t>83.97%</t>
  </si>
  <si>
    <t>82.26 ± 2.55%</t>
  </si>
  <si>
    <t>87.72%</t>
  </si>
  <si>
    <t>92.34%</t>
  </si>
  <si>
    <t>89.85 ± 4.75%</t>
  </si>
  <si>
    <t>92.89%</t>
  </si>
  <si>
    <t>88.09%</t>
  </si>
  <si>
    <t>90.36 ± 1.30%</t>
  </si>
  <si>
    <t>95.11%</t>
  </si>
  <si>
    <t>91.85%</t>
  </si>
  <si>
    <t>93.27 ± 3.11%</t>
  </si>
  <si>
    <t>95.66%</t>
  </si>
  <si>
    <t>94.21%</t>
  </si>
  <si>
    <t>94.86 ± 1.03%</t>
  </si>
  <si>
    <t>90.42%</t>
  </si>
  <si>
    <t>90.09%</t>
  </si>
  <si>
    <t>Take</t>
  </si>
  <si>
    <t>Thay đổi chính</t>
  </si>
  <si>
    <t>mAP50</t>
  </si>
  <si>
    <t>mAP50-95</t>
  </si>
  <si>
    <t>Mean IoU</t>
  </si>
  <si>
    <t>Baseline dataset nhỏ</t>
  </si>
  <si>
    <t>0.6196</t>
  </si>
  <si>
    <t>0.5637</t>
  </si>
  <si>
    <t>0.5589</t>
  </si>
  <si>
    <t>0.2988</t>
  </si>
  <si>
    <t>0.7505</t>
  </si>
  <si>
    <t>Resize ảnh về 640×640</t>
  </si>
  <si>
    <t>0.5811</t>
  </si>
  <si>
    <t>0.5099</t>
  </si>
  <si>
    <t>0.5336</t>
  </si>
  <si>
    <t>0.3073</t>
  </si>
  <si>
    <t>0.7622</t>
  </si>
  <si>
    <t>0.3111</t>
  </si>
  <si>
    <t>0.4295</t>
  </si>
  <si>
    <t>0.3522</t>
  </si>
  <si>
    <t>0.2148</t>
  </si>
  <si>
    <t>0.8163</t>
  </si>
  <si>
    <t>Bổ sung lesion nhỏ có ý nghĩa + tăng annotation</t>
  </si>
  <si>
    <t>0.4830</t>
  </si>
  <si>
    <t>0.5360</t>
  </si>
  <si>
    <t>0.4929</t>
  </si>
  <si>
    <t>0.2588</t>
  </si>
  <si>
    <t>0.7910</t>
  </si>
  <si>
    <t>Dense small-lesion annotation</t>
  </si>
  <si>
    <t>0.6929</t>
  </si>
  <si>
    <t>0.6506</t>
  </si>
  <si>
    <t>0.6609</t>
  </si>
  <si>
    <t>0.3405</t>
  </si>
  <si>
    <t>0.7629</t>
  </si>
  <si>
    <t>Selective clear-lesion annotation</t>
  </si>
  <si>
    <t>0.7473</t>
  </si>
  <si>
    <t>0.6648</t>
  </si>
  <si>
    <t>0.7298</t>
  </si>
  <si>
    <t>0.3877</t>
  </si>
  <si>
    <t>0.7603</t>
  </si>
  <si>
    <t>Clean annotation</t>
  </si>
  <si>
    <t>Tổng hợp kết quả</t>
  </si>
  <si>
    <t>Precision     = 0.7473</t>
  </si>
  <si>
    <t>Recall        = 0.6648</t>
  </si>
  <si>
    <t>F1            = 0.7036</t>
  </si>
  <si>
    <t>mAP@0.50      = 0.7298</t>
  </si>
  <si>
    <t>mAP@0.75      = 0.3577</t>
  </si>
  <si>
    <t>mAP@0.50:0.95 = 0.3877</t>
  </si>
  <si>
    <t>Mean IoU      = 0.7603</t>
  </si>
  <si>
    <t>Median IoU    = 0.7720</t>
  </si>
  <si>
    <t>Metric</t>
  </si>
  <si>
    <t>Take 05</t>
  </si>
  <si>
    <t>Take 06</t>
  </si>
  <si>
    <t>Thay đổi</t>
  </si>
  <si>
    <t>+0.0544</t>
  </si>
  <si>
    <t>+0.0142</t>
  </si>
  <si>
    <t>F1</t>
  </si>
  <si>
    <t>0.6711</t>
  </si>
  <si>
    <t>0.7036</t>
  </si>
  <si>
    <t>+0.0325</t>
  </si>
  <si>
    <t>+0.0689</t>
  </si>
  <si>
    <t>mAP75</t>
  </si>
  <si>
    <t>0.2793</t>
  </si>
  <si>
    <t>0.3577</t>
  </si>
  <si>
    <t>+0.0784</t>
  </si>
  <si>
    <t>+0.0472</t>
  </si>
  <si>
    <t>-0.0026</t>
  </si>
  <si>
    <t>So sánh kết quả giữa 05 và 06</t>
  </si>
  <si>
    <t>0.6934</t>
  </si>
  <si>
    <t>0.5949</t>
  </si>
  <si>
    <t>0.6404</t>
  </si>
  <si>
    <t>0.6666</t>
  </si>
  <si>
    <t>0.2847</t>
  </si>
  <si>
    <t>0.8571</t>
  </si>
  <si>
    <t>0.7198</t>
  </si>
  <si>
    <t>0.7825</t>
  </si>
  <si>
    <t>0.7839</t>
  </si>
  <si>
    <t>0.5108</t>
  </si>
  <si>
    <t>0.6916</t>
  </si>
  <si>
    <t>0.6796</t>
  </si>
  <si>
    <t>0.6855</t>
  </si>
  <si>
    <t>0.7388</t>
  </si>
  <si>
    <t>0.3675</t>
  </si>
  <si>
    <t>Kết quả theo từng bệnh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</si>
</sst>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>
    <font>
      <sz val="11"/>
      <name val="Carlito"/>
    </font>
    <font>
      <b/>
      <sz val="18"/>
      <color rgb="FFFFFFFF"/>
      <name val="Carlito"/>
    </font>
    <font>
      <b/>
      <sz val="12"/>
      <color rgb="FF1F1F1F"/>
      <name val="Carlito"/>
    </font>
    <font>
      <b/>
      <sz val="11"/>
      <color rgb="FFFFFFFF"/>
      <name val="Carlito"/>
    </font>
    <font>
      <b/>
      <sz val="11"/>
      <name val="Carlito"/>
    </font>
    <font>
      <b/>
      <sz val="12"/>
      <color rgb="FF1F1F1F"/>
      <name val="Tahoma"/>
      <family val="2"/>
      <charset val="163"/>
    </font>
    <font>
      <b/>
      <sz val="11"/>
      <name val="Times New Roman"/>
      <family val="1"/>
      <charset val="163"/>
    </font>
    <font>
      <sz val="11"/>
      <name val="Times New Roman"/>
      <family val="1"/>
      <charset val="163"/>
    </font>
    <font>
      <sz val="14"/>
      <name val="Times New Roman"/>
      <family val="1"/>
      <charset val="163"/>
    </font>
    <font>
      <sz val="18"/>
      <name val="Times New Roman"/>
      <family val="1"/>
      <charset val="163"/>
    </font>
    <font>
      <sz val="20"/>
      <name val="Times New Roman"/>
      <family val="1"/>
      <charset val="163"/>
    </font>
    <font>
      <b/>
      <sz val="18"/>
      <name val="Times New Roman"/>
      <family val="1"/>
      <charset val="163"/>
    </font>
    <font>
      <b/>
      <sz val="14"/>
      <name val="Times New Roman"/>
      <family val="1"/>
      <charset val="163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70AD47"/>
      </patternFill>
    </fill>
    <fill>
      <patternFill patternType="solid">
        <fgColor rgb="FFEAF2F8"/>
      </patternFill>
    </fill>
    <fill>
      <patternFill patternType="solid">
        <fgColor rgb="FFEAF4E3"/>
      </patternFill>
    </fill>
    <fill>
      <patternFill patternType="solid">
        <fgColor theme="3" tint="0.749992370372631"/>
        <bgColor indexed="64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4" borderId="0" xfId="0" applyNumberFormat="1" applyFont="1" applyFill="1" applyBorder="1" applyAlignment="1">
      <alignment horizontal="center" vertical="center"/>
    </xf>
    <xf numFmtId="0" fontId="3" fillId="6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4" xfId="0" applyNumberFormat="1" applyFont="1" applyFill="1" applyBorder="1" applyAlignment="1">
      <alignment vertical="center"/>
    </xf>
    <xf numFmtId="0" fontId="4" fillId="7" borderId="6" xfId="0" applyNumberFormat="1" applyFont="1" applyFill="1" applyBorder="1" applyAlignment="1">
      <alignment vertical="center"/>
    </xf>
    <xf numFmtId="0" fontId="4" fillId="8" borderId="6" xfId="0" applyNumberFormat="1" applyFont="1" applyFill="1" applyBorder="1" applyAlignment="1">
      <alignment vertical="center"/>
    </xf>
    <xf numFmtId="3" fontId="0" fillId="0" borderId="2" xfId="0" applyNumberFormat="1" applyFont="1" applyFill="1" applyBorder="1" applyAlignment="1">
      <alignment horizontal="center" vertical="center"/>
    </xf>
    <xf numFmtId="164" fontId="0" fillId="0" borderId="3" xfId="0" applyNumberFormat="1" applyFont="1" applyFill="1" applyBorder="1" applyAlignment="1">
      <alignment horizontal="center" vertical="center"/>
    </xf>
    <xf numFmtId="3" fontId="0" fillId="0" borderId="0" xfId="0" applyNumberFormat="1" applyFont="1" applyFill="1" applyBorder="1" applyAlignment="1">
      <alignment horizontal="center" vertical="center"/>
    </xf>
    <xf numFmtId="164" fontId="0" fillId="0" borderId="5" xfId="0" applyNumberFormat="1" applyFont="1" applyFill="1" applyBorder="1" applyAlignment="1">
      <alignment horizontal="center" vertical="center"/>
    </xf>
    <xf numFmtId="3" fontId="4" fillId="7" borderId="7" xfId="0" applyNumberFormat="1" applyFont="1" applyFill="1" applyBorder="1" applyAlignment="1">
      <alignment horizontal="center" vertical="center"/>
    </xf>
    <xf numFmtId="164" fontId="4" fillId="7" borderId="8" xfId="0" applyNumberFormat="1" applyFont="1" applyFill="1" applyBorder="1" applyAlignment="1">
      <alignment horizontal="center" vertical="center"/>
    </xf>
    <xf numFmtId="3" fontId="4" fillId="8" borderId="7" xfId="0" applyNumberFormat="1" applyFont="1" applyFill="1" applyBorder="1" applyAlignment="1">
      <alignment horizontal="center" vertical="center"/>
    </xf>
    <xf numFmtId="164" fontId="4" fillId="8" borderId="8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7" fillId="0" borderId="9" xfId="0" applyFont="1" applyBorder="1" applyAlignment="1">
      <alignment horizontal="right" vertical="center" wrapText="1"/>
    </xf>
    <xf numFmtId="0" fontId="6" fillId="0" borderId="10" xfId="0" applyFont="1" applyBorder="1" applyAlignment="1">
      <alignment vertical="center" wrapText="1"/>
    </xf>
    <xf numFmtId="0" fontId="7" fillId="0" borderId="11" xfId="0" applyFont="1" applyBorder="1" applyAlignment="1">
      <alignment horizontal="right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right" vertical="center" wrapText="1"/>
    </xf>
    <xf numFmtId="0" fontId="6" fillId="0" borderId="14" xfId="0" applyFont="1" applyBorder="1" applyAlignment="1">
      <alignment horizontal="right" vertical="center" wrapText="1"/>
    </xf>
    <xf numFmtId="0" fontId="6" fillId="0" borderId="15" xfId="0" applyFont="1" applyBorder="1" applyAlignment="1">
      <alignment vertical="center" wrapText="1"/>
    </xf>
    <xf numFmtId="0" fontId="7" fillId="0" borderId="16" xfId="0" applyFont="1" applyBorder="1" applyAlignment="1">
      <alignment horizontal="right" vertical="center" wrapText="1"/>
    </xf>
    <xf numFmtId="0" fontId="7" fillId="0" borderId="17" xfId="0" applyFont="1" applyBorder="1" applyAlignment="1">
      <alignment horizontal="right" vertical="center" wrapText="1"/>
    </xf>
    <xf numFmtId="0" fontId="0" fillId="0" borderId="0" xfId="0" applyAlignment="1">
      <alignment horizontal="center"/>
    </xf>
    <xf numFmtId="0" fontId="2" fillId="3" borderId="0" xfId="0" applyNumberFormat="1" applyFont="1" applyFill="1" applyBorder="1" applyAlignment="1">
      <alignment horizontal="center"/>
    </xf>
    <xf numFmtId="0" fontId="2" fillId="5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center" vertical="center"/>
    </xf>
    <xf numFmtId="0" fontId="5" fillId="5" borderId="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0" fontId="10" fillId="9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12" fillId="9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</cellXfs>
  <cellStyles count="1">
    <cellStyle name="Normal" xfId="0" builtinId="0"/>
  </cellStyles>
  <dxfs count="42"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center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163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163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163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163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163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163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163"/>
        <scheme val="none"/>
      </font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charset val="163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vi-VN"/>
              <a:t>Phân bố Data ban đầu 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Số lượng</c:v>
          </c:tx>
          <c:cat>
            <c:strRef>
              <c:f>'Dataset Comparison'!$A$6:$A$9</c:f>
              <c:strCache>
                <c:ptCount val="4"/>
                <c:pt idx="0">
                  <c:v>Anthracnose</c:v>
                </c:pt>
                <c:pt idx="1">
                  <c:v>Healthy</c:v>
                </c:pt>
                <c:pt idx="2">
                  <c:v>Leaf miner</c:v>
                </c:pt>
                <c:pt idx="3">
                  <c:v>Red rust</c:v>
                </c:pt>
              </c:strCache>
            </c:strRef>
          </c:cat>
          <c:val>
            <c:numRef>
              <c:f>'Dataset Comparison'!$B$6:$B$9</c:f>
              <c:numCache>
                <c:formatCode>#,##0</c:formatCode>
                <c:ptCount val="4"/>
                <c:pt idx="0">
                  <c:v>1631</c:v>
                </c:pt>
                <c:pt idx="1">
                  <c:v>1069</c:v>
                </c:pt>
                <c:pt idx="2">
                  <c:v>1215</c:v>
                </c:pt>
                <c:pt idx="3">
                  <c:v>1681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F1-4F2A-97A5-FFD053EBE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vi-VN"/>
              <a:t>Phân bố Data cải tiến 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Số lượng</c:v>
          </c:tx>
          <c:cat>
            <c:strRef>
              <c:f>'Dataset Comparison'!$F$6:$F$10</c:f>
              <c:strCache>
                <c:ptCount val="5"/>
                <c:pt idx="0">
                  <c:v>Anthracnose</c:v>
                </c:pt>
                <c:pt idx="1">
                  <c:v>Healthy</c:v>
                </c:pt>
                <c:pt idx="2">
                  <c:v>Leaf miner</c:v>
                </c:pt>
                <c:pt idx="3">
                  <c:v>Red rust</c:v>
                </c:pt>
                <c:pt idx="4">
                  <c:v>Not cashew</c:v>
                </c:pt>
              </c:strCache>
            </c:strRef>
          </c:cat>
          <c:val>
            <c:numRef>
              <c:f>'Dataset Comparison'!$G$6:$G$10</c:f>
              <c:numCache>
                <c:formatCode>#,##0</c:formatCode>
                <c:ptCount val="5"/>
                <c:pt idx="0">
                  <c:v>1361</c:v>
                </c:pt>
                <c:pt idx="1">
                  <c:v>1149</c:v>
                </c:pt>
                <c:pt idx="2">
                  <c:v>1274</c:v>
                </c:pt>
                <c:pt idx="3">
                  <c:v>1555</c:v>
                </c:pt>
                <c:pt idx="4">
                  <c:v>1572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1-4C24-A80D-89FA2EA6B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Phân</a:t>
            </a:r>
            <a:r>
              <a:rPr lang="en-US" b="1" baseline="0">
                <a:solidFill>
                  <a:sysClr val="windowText" lastClr="000000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 bố Data độc lập</a:t>
            </a:r>
            <a:endParaRPr lang="vi-VN" b="1">
              <a:solidFill>
                <a:sysClr val="windowText" lastClr="000000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'Dataset Comparison'!$M$5</c:f>
              <c:strCache>
                <c:ptCount val="1"/>
                <c:pt idx="0">
                  <c:v>Số lượng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DC7-49BE-BF23-55C1341466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DC7-49BE-BF23-55C1341466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DC7-49BE-BF23-55C1341466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DC7-49BE-BF23-55C1341466C7}"/>
              </c:ext>
            </c:extLst>
          </c:dPt>
          <c:cat>
            <c:strRef>
              <c:f>'Dataset Comparison'!$L$6:$L$9</c:f>
              <c:strCache>
                <c:ptCount val="4"/>
                <c:pt idx="0">
                  <c:v>Anthracnose</c:v>
                </c:pt>
                <c:pt idx="1">
                  <c:v>Healthy</c:v>
                </c:pt>
                <c:pt idx="2">
                  <c:v>Leaf miner</c:v>
                </c:pt>
                <c:pt idx="3">
                  <c:v>Red rust</c:v>
                </c:pt>
              </c:strCache>
            </c:strRef>
          </c:cat>
          <c:val>
            <c:numRef>
              <c:f>'Dataset Comparison'!$M$6:$M$9</c:f>
              <c:numCache>
                <c:formatCode>#,##0</c:formatCode>
                <c:ptCount val="4"/>
                <c:pt idx="0">
                  <c:v>13</c:v>
                </c:pt>
                <c:pt idx="1">
                  <c:v>21</c:v>
                </c:pt>
                <c:pt idx="2">
                  <c:v>24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7F-4210-8F2A-E33650838212}"/>
            </c:ext>
          </c:extLst>
        </c:ser>
        <c:ser>
          <c:idx val="1"/>
          <c:order val="1"/>
          <c:tx>
            <c:strRef>
              <c:f>'Dataset Comparison'!$N$5</c:f>
              <c:strCache>
                <c:ptCount val="1"/>
                <c:pt idx="0">
                  <c:v>Tỷ lệ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DC7-49BE-BF23-55C1341466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DC7-49BE-BF23-55C1341466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DC7-49BE-BF23-55C1341466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DC7-49BE-BF23-55C1341466C7}"/>
              </c:ext>
            </c:extLst>
          </c:dPt>
          <c:cat>
            <c:strRef>
              <c:f>'Dataset Comparison'!$L$6:$L$9</c:f>
              <c:strCache>
                <c:ptCount val="4"/>
                <c:pt idx="0">
                  <c:v>Anthracnose</c:v>
                </c:pt>
                <c:pt idx="1">
                  <c:v>Healthy</c:v>
                </c:pt>
                <c:pt idx="2">
                  <c:v>Leaf miner</c:v>
                </c:pt>
                <c:pt idx="3">
                  <c:v>Red rust</c:v>
                </c:pt>
              </c:strCache>
            </c:strRef>
          </c:cat>
          <c:val>
            <c:numRef>
              <c:f>'Dataset Comparison'!$N$6:$N$9</c:f>
              <c:numCache>
                <c:formatCode>0.0%</c:formatCode>
                <c:ptCount val="4"/>
                <c:pt idx="0">
                  <c:v>0.17808219178082191</c:v>
                </c:pt>
                <c:pt idx="1">
                  <c:v>0.28767123287671231</c:v>
                </c:pt>
                <c:pt idx="2">
                  <c:v>0.32876712328767121</c:v>
                </c:pt>
                <c:pt idx="3">
                  <c:v>0.20547945205479451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7F-4210-8F2A-E33650838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5</xdr:col>
      <xdr:colOff>230520</xdr:colOff>
      <xdr:row>29</xdr:row>
      <xdr:rowOff>108857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281749</xdr:colOff>
      <xdr:row>11</xdr:row>
      <xdr:rowOff>172891</xdr:rowOff>
    </xdr:from>
    <xdr:to>
      <xdr:col>9</xdr:col>
      <xdr:colOff>294555</xdr:colOff>
      <xdr:row>29</xdr:row>
      <xdr:rowOff>147277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12807</xdr:colOff>
      <xdr:row>11</xdr:row>
      <xdr:rowOff>91567</xdr:rowOff>
    </xdr:from>
    <xdr:to>
      <xdr:col>14</xdr:col>
      <xdr:colOff>550689</xdr:colOff>
      <xdr:row>26</xdr:row>
      <xdr:rowOff>145356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B80E37-C354-4669-AC07-F0AA9A1120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975133-938E-4F2E-9F8E-B4D1CDD08583}" name="Table1" displayName="Table1" ref="B5:G8" totalsRowShown="0" headerRowDxfId="41" dataDxfId="39" headerRowBorderDxfId="40" tableBorderDxfId="38" totalsRowBorderDxfId="37">
  <autoFilter ref="B5:G8" xr:uid="{BA7E3AA0-2F31-466D-B6B6-F0B6ED1F533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C2C1B1C3-1560-4AAB-ABD1-40C4C450A230}" name="Mô hình" dataDxfId="36"/>
    <tableColumn id="2" xr3:uid="{6FF2F455-690A-465D-A8D1-A0B685A50B2D}" name="Accuracy" dataDxfId="35"/>
    <tableColumn id="3" xr3:uid="{DFAF6A2D-69B8-419E-BB57-D5C7936DF6CD}" name="Macro Precision" dataDxfId="34"/>
    <tableColumn id="4" xr3:uid="{D5F56A57-587C-4D44-BC4E-1EAA218E360B}" name="Macro Recall" dataDxfId="33"/>
    <tableColumn id="5" xr3:uid="{2ED4A4F3-7782-4CDC-9594-870B81A2ACF4}" name="Macro F1" dataDxfId="32"/>
    <tableColumn id="6" xr3:uid="{7FDF8443-C75C-4428-A8C1-4A109AB1BF5A}" name="Balanced Accuracy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1EC9CD-3206-4E17-8D78-833B5BD5A555}" name="Table2" displayName="Table2" ref="H14:K20" totalsRowShown="0" headerRowDxfId="30">
  <autoFilter ref="H14:K20" xr:uid="{CC53C1BF-3EBF-481B-BF5A-0911FD4F1D61}">
    <filterColumn colId="0" hiddenButton="1"/>
    <filterColumn colId="1" hiddenButton="1"/>
    <filterColumn colId="2" hiddenButton="1"/>
    <filterColumn colId="3" hiddenButton="1"/>
  </autoFilter>
  <tableColumns count="4">
    <tableColumn id="1" xr3:uid="{EB3E8DB9-051D-47C8-8C4A-E8CCB35FD32C}" name="Class" dataDxfId="29"/>
    <tableColumn id="2" xr3:uid="{C0A440B9-4F1A-478A-A134-40E154F0A145}" name="Precision" dataDxfId="28"/>
    <tableColumn id="3" xr3:uid="{43AF4544-253C-4891-986B-F73EEEF46BEE}" name="Recall" dataDxfId="27"/>
    <tableColumn id="4" xr3:uid="{F9799523-0E66-49F1-B27C-1AEEB347987E}" name="F1-score" dataDxfId="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CB78B95-4541-496F-BA07-8BB5ADADFE9E}" name="Table3" displayName="Table3" ref="H25:K31" totalsRowShown="0" headerRowDxfId="25">
  <autoFilter ref="H25:K31" xr:uid="{D8F757D6-8631-4FF1-B2BE-E86794AEE06D}">
    <filterColumn colId="0" hiddenButton="1"/>
    <filterColumn colId="1" hiddenButton="1"/>
    <filterColumn colId="2" hiddenButton="1"/>
    <filterColumn colId="3" hiddenButton="1"/>
  </autoFilter>
  <tableColumns count="4">
    <tableColumn id="1" xr3:uid="{4F5E292F-29EB-4964-B3F5-D44B61E11F45}" name="Class" dataDxfId="24"/>
    <tableColumn id="2" xr3:uid="{A604D68F-5085-4EC2-A2C4-EDB9FCAB8391}" name="Precision" dataDxfId="23"/>
    <tableColumn id="3" xr3:uid="{046E1381-72B0-4F4F-BC3A-76F6FBD8E17A}" name="Recall" dataDxfId="22"/>
    <tableColumn id="4" xr3:uid="{88CAF135-4661-4007-95E4-80BB284E4530}" name="F1-score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9222F9-3BE0-4134-B9A1-8DA9660F9A84}" name="Table4" displayName="Table4" ref="H37:K43" totalsRowShown="0" headerRowDxfId="20">
  <autoFilter ref="H37:K43" xr:uid="{8E78D46C-BC06-4791-97D6-DD383BCADF66}">
    <filterColumn colId="0" hiddenButton="1"/>
    <filterColumn colId="1" hiddenButton="1"/>
    <filterColumn colId="2" hiddenButton="1"/>
    <filterColumn colId="3" hiddenButton="1"/>
  </autoFilter>
  <tableColumns count="4">
    <tableColumn id="1" xr3:uid="{A1C7B309-5B0E-49F1-BA36-33ECB861DAD6}" name="Class" dataDxfId="19"/>
    <tableColumn id="2" xr3:uid="{BD45EFF9-C5B9-44A0-8F68-457E0F012CC5}" name="Precision" dataDxfId="18"/>
    <tableColumn id="3" xr3:uid="{2C108ADC-5285-4239-A7B3-71D1A2ACF580}" name="Recall" dataDxfId="17"/>
    <tableColumn id="4" xr3:uid="{094A0052-49E9-4AC6-8179-8203A0939403}" name="F1-score" dataDxfId="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53633E9-C140-4F99-A8B6-B8180AE89F1D}" name="Table5" displayName="Table5" ref="C10:I16" totalsRowShown="0" headerRowDxfId="15" dataDxfId="14">
  <autoFilter ref="C10:I16" xr:uid="{F38554C2-F2CC-4CCD-A88B-DA94CE85037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68E9005-49F9-46A1-90B1-764E02D95B1A}" name="Take" dataDxfId="13"/>
    <tableColumn id="2" xr3:uid="{5E9F99E3-56CE-4CB7-8E76-28375DF07AFF}" name="Thay đổi chính" dataDxfId="12"/>
    <tableColumn id="3" xr3:uid="{4AD07262-BA8C-4913-AD51-2CD59B389067}" name="Precision" dataDxfId="11"/>
    <tableColumn id="4" xr3:uid="{BDA6106B-070F-497A-B4D0-007C6C9C44A9}" name="Recall" dataDxfId="10"/>
    <tableColumn id="5" xr3:uid="{5E7AD777-43DB-431F-BFB7-E63661FB169D}" name="mAP50" dataDxfId="9"/>
    <tableColumn id="6" xr3:uid="{073073FB-6F86-41A8-A981-8DB8014EFE52}" name="mAP50-95" dataDxfId="8"/>
    <tableColumn id="7" xr3:uid="{28E80113-37B5-45CB-934F-C4B7CC2F8043}" name="Mean IoU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4E84FD-8D08-4910-B3EF-D403FDAF1E8F}" name="Table6" displayName="Table6" ref="K36:N43" totalsRowShown="0" headerRowDxfId="6">
  <autoFilter ref="K36:N43" xr:uid="{20319BA0-5A40-4C2D-B338-B8D43B90321C}">
    <filterColumn colId="0" hiddenButton="1"/>
    <filterColumn colId="1" hiddenButton="1"/>
    <filterColumn colId="2" hiddenButton="1"/>
    <filterColumn colId="3" hiddenButton="1"/>
  </autoFilter>
  <tableColumns count="4">
    <tableColumn id="1" xr3:uid="{1CEEE559-20E6-413F-9235-699DFBAF4418}" name="Metric" dataDxfId="5"/>
    <tableColumn id="2" xr3:uid="{56A13165-2EB8-411E-BA9A-E54506308385}" name="Take 05" dataDxfId="4"/>
    <tableColumn id="3" xr3:uid="{1421337A-96DE-4E34-950E-B7AD58444C78}" name="Take 06" dataDxfId="3"/>
    <tableColumn id="4" xr3:uid="{6CEF41BA-7584-4C43-BB17-4B0E275FC1B9}" name="Thay đổi" data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5EC65C3-677D-4540-B35B-BBCA186E9693}" name="Table7" displayName="Table7" ref="K47:P50" totalsRowShown="0" headerRowDxfId="1">
  <autoFilter ref="K47:P50" xr:uid="{4A5F4DBB-B847-4291-A513-B51A0E54DB2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A8B3EA01-3719-4C7E-B737-F8112BED28EC}" name="Class" dataDxfId="0"/>
    <tableColumn id="2" xr3:uid="{4C3F9EED-393B-48C4-8A51-4F7C1CEAE4ED}" name="Precision"/>
    <tableColumn id="3" xr3:uid="{D1F2B25F-DF00-4E1F-96B1-7C173776FFE3}" name="Recall"/>
    <tableColumn id="4" xr3:uid="{13C55EC2-050A-47D0-A348-150D3299601C}" name="F1"/>
    <tableColumn id="5" xr3:uid="{6D04522C-AD03-407E-B113-7F4DAAAC0B51}" name="mAP50"/>
    <tableColumn id="6" xr3:uid="{7BDCC961-D3C1-424E-B2E8-B03117F6B12F}" name="mAP50-9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tabSelected="1" topLeftCell="C1" zoomScale="85" zoomScaleNormal="85" workbookViewId="0">
      <selection activeCell="I10" sqref="I10"/>
    </sheetView>
  </sheetViews>
  <sheetFormatPr defaultRowHeight="14.15"/>
  <cols>
    <col min="1" max="1" width="20" customWidth="1"/>
    <col min="2" max="2" width="13" customWidth="1"/>
    <col min="3" max="3" width="12" customWidth="1"/>
    <col min="4" max="5" width="4" customWidth="1"/>
    <col min="6" max="6" width="20" customWidth="1"/>
    <col min="7" max="7" width="13" customWidth="1"/>
    <col min="8" max="11" width="12" customWidth="1"/>
    <col min="12" max="12" width="13.85546875" customWidth="1"/>
    <col min="13" max="13" width="12" customWidth="1"/>
    <col min="14" max="14" width="15.0703125" customWidth="1"/>
  </cols>
  <sheetData>
    <row r="1" spans="1:14" ht="13.75" customHeight="1"/>
    <row r="2" spans="1:14" ht="13.75" customHeight="1">
      <c r="A2" s="32" t="s">
        <v>0</v>
      </c>
      <c r="B2" s="32"/>
      <c r="C2" s="32"/>
      <c r="D2" s="32"/>
      <c r="E2" s="32"/>
      <c r="F2" s="32"/>
      <c r="G2" s="32"/>
      <c r="H2" s="32"/>
      <c r="I2" s="32"/>
      <c r="J2" s="32"/>
    </row>
    <row r="3" spans="1:14">
      <c r="A3" s="32"/>
      <c r="B3" s="32"/>
      <c r="C3" s="32"/>
      <c r="D3" s="32"/>
      <c r="E3" s="32"/>
      <c r="F3" s="32"/>
      <c r="G3" s="32"/>
      <c r="H3" s="32"/>
      <c r="I3" s="32"/>
      <c r="J3" s="32"/>
    </row>
    <row r="4" spans="1:14" ht="15.45">
      <c r="A4" s="30" t="s">
        <v>1</v>
      </c>
      <c r="B4" s="30"/>
      <c r="C4" s="30"/>
      <c r="F4" s="31" t="s">
        <v>2</v>
      </c>
      <c r="G4" s="31"/>
      <c r="H4" s="31"/>
      <c r="L4" s="33" t="s">
        <v>12</v>
      </c>
      <c r="M4" s="31"/>
      <c r="N4" s="31"/>
    </row>
    <row r="5" spans="1:14" ht="12" customHeight="1">
      <c r="A5" s="1" t="s">
        <v>3</v>
      </c>
      <c r="B5" s="1" t="s">
        <v>4</v>
      </c>
      <c r="C5" s="1" t="s">
        <v>5</v>
      </c>
      <c r="F5" s="2" t="s">
        <v>3</v>
      </c>
      <c r="G5" s="2" t="s">
        <v>4</v>
      </c>
      <c r="H5" s="2" t="s">
        <v>5</v>
      </c>
      <c r="L5" s="2" t="s">
        <v>3</v>
      </c>
      <c r="M5" s="2" t="s">
        <v>4</v>
      </c>
      <c r="N5" s="2" t="s">
        <v>5</v>
      </c>
    </row>
    <row r="6" spans="1:14" ht="12" customHeight="1">
      <c r="A6" s="3" t="s">
        <v>6</v>
      </c>
      <c r="B6" s="7">
        <v>1631</v>
      </c>
      <c r="C6" s="8">
        <f>B6/$B$10</f>
        <v>0.29145818441744104</v>
      </c>
      <c r="F6" s="3" t="s">
        <v>6</v>
      </c>
      <c r="G6" s="7">
        <v>1361</v>
      </c>
      <c r="H6" s="8">
        <f>G6/$G$11</f>
        <v>0.19693242656634352</v>
      </c>
      <c r="L6" s="3" t="s">
        <v>6</v>
      </c>
      <c r="M6" s="7">
        <v>13</v>
      </c>
      <c r="N6" s="8">
        <f>M6/$M$10</f>
        <v>0.17808219178082191</v>
      </c>
    </row>
    <row r="7" spans="1:14" ht="12" customHeight="1">
      <c r="A7" s="4" t="s">
        <v>7</v>
      </c>
      <c r="B7" s="9">
        <v>1069</v>
      </c>
      <c r="C7" s="10">
        <f>B7/$B$10</f>
        <v>0.19102930664760542</v>
      </c>
      <c r="F7" s="4" t="s">
        <v>7</v>
      </c>
      <c r="G7" s="9">
        <v>1149</v>
      </c>
      <c r="H7" s="10">
        <f>G7/$G$11</f>
        <v>0.16625669222977862</v>
      </c>
      <c r="L7" s="4" t="s">
        <v>7</v>
      </c>
      <c r="M7" s="9">
        <v>21</v>
      </c>
      <c r="N7" s="8">
        <f t="shared" ref="N7:N9" si="0">M7/$M$10</f>
        <v>0.28767123287671231</v>
      </c>
    </row>
    <row r="8" spans="1:14" ht="12" customHeight="1">
      <c r="A8" s="4" t="s">
        <v>8</v>
      </c>
      <c r="B8" s="9">
        <v>1215</v>
      </c>
      <c r="C8" s="10">
        <f>B8/$B$10</f>
        <v>0.21711937097927092</v>
      </c>
      <c r="F8" s="4" t="s">
        <v>8</v>
      </c>
      <c r="G8" s="9">
        <v>1274</v>
      </c>
      <c r="H8" s="10">
        <f>G8/$G$11</f>
        <v>0.18434379973954565</v>
      </c>
      <c r="L8" s="4" t="s">
        <v>8</v>
      </c>
      <c r="M8" s="9">
        <v>24</v>
      </c>
      <c r="N8" s="8">
        <f t="shared" si="0"/>
        <v>0.32876712328767121</v>
      </c>
    </row>
    <row r="9" spans="1:14" ht="12" customHeight="1">
      <c r="A9" s="4" t="s">
        <v>9</v>
      </c>
      <c r="B9" s="9">
        <v>1681</v>
      </c>
      <c r="C9" s="10">
        <f>B9/$B$10</f>
        <v>0.30039313795568262</v>
      </c>
      <c r="F9" s="4" t="s">
        <v>9</v>
      </c>
      <c r="G9" s="9">
        <v>1555</v>
      </c>
      <c r="H9" s="10">
        <f>G9/$G$11</f>
        <v>0.22500361742150196</v>
      </c>
      <c r="L9" s="4" t="s">
        <v>9</v>
      </c>
      <c r="M9" s="9">
        <v>15</v>
      </c>
      <c r="N9" s="8">
        <f t="shared" si="0"/>
        <v>0.20547945205479451</v>
      </c>
    </row>
    <row r="10" spans="1:14" ht="12" customHeight="1">
      <c r="A10" s="5" t="s">
        <v>10</v>
      </c>
      <c r="B10" s="11">
        <f>SUM(B6:B9)</f>
        <v>5596</v>
      </c>
      <c r="C10" s="12">
        <f>SUM(C6:C9)</f>
        <v>1</v>
      </c>
      <c r="F10" s="4" t="s">
        <v>11</v>
      </c>
      <c r="G10" s="9">
        <v>1572</v>
      </c>
      <c r="H10" s="10">
        <f>G10/$G$11</f>
        <v>0.22746346404283027</v>
      </c>
      <c r="L10" s="6" t="s">
        <v>10</v>
      </c>
      <c r="M10" s="13">
        <f>SUM(M6:M9)</f>
        <v>73</v>
      </c>
      <c r="N10" s="14">
        <f>SUM(N6:N9)</f>
        <v>1</v>
      </c>
    </row>
    <row r="11" spans="1:14" ht="12" customHeight="1">
      <c r="F11" s="6" t="s">
        <v>10</v>
      </c>
      <c r="G11" s="13">
        <f>SUM(G6:G10)</f>
        <v>6911</v>
      </c>
      <c r="H11" s="14">
        <f>SUM(H6:H10)</f>
        <v>1</v>
      </c>
    </row>
  </sheetData>
  <mergeCells count="4">
    <mergeCell ref="A4:C4"/>
    <mergeCell ref="F4:H4"/>
    <mergeCell ref="A2:J3"/>
    <mergeCell ref="L4:N4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4522-6FE5-4D12-AC01-569ACC616A63}">
  <dimension ref="B4:K43"/>
  <sheetViews>
    <sheetView topLeftCell="B34" workbookViewId="0">
      <selection activeCell="N36" sqref="N36"/>
    </sheetView>
  </sheetViews>
  <sheetFormatPr defaultRowHeight="14.15"/>
  <cols>
    <col min="1" max="1" width="4.92578125" customWidth="1"/>
    <col min="2" max="2" width="12.0703125" customWidth="1"/>
    <col min="3" max="3" width="12.85546875" customWidth="1"/>
    <col min="4" max="4" width="15.78515625" customWidth="1"/>
    <col min="5" max="5" width="13.85546875" customWidth="1"/>
    <col min="6" max="6" width="13.640625" customWidth="1"/>
    <col min="7" max="7" width="18.0703125" customWidth="1"/>
    <col min="8" max="8" width="15.7109375" customWidth="1"/>
    <col min="9" max="9" width="14.2109375" customWidth="1"/>
    <col min="10" max="10" width="15" customWidth="1"/>
    <col min="11" max="11" width="22.0703125" customWidth="1"/>
  </cols>
  <sheetData>
    <row r="4" spans="2:11" ht="25.3">
      <c r="B4" s="34" t="s">
        <v>34</v>
      </c>
      <c r="C4" s="35"/>
      <c r="D4" s="35"/>
      <c r="E4" s="35"/>
      <c r="F4" s="35"/>
      <c r="G4" s="35"/>
    </row>
    <row r="5" spans="2:11" ht="20.149999999999999" customHeight="1">
      <c r="B5" s="23" t="s">
        <v>13</v>
      </c>
      <c r="C5" s="24" t="s">
        <v>14</v>
      </c>
      <c r="D5" s="24" t="s">
        <v>15</v>
      </c>
      <c r="E5" s="24" t="s">
        <v>16</v>
      </c>
      <c r="F5" s="24" t="s">
        <v>17</v>
      </c>
      <c r="G5" s="25" t="s">
        <v>18</v>
      </c>
    </row>
    <row r="6" spans="2:11" ht="26.6" customHeight="1">
      <c r="B6" s="21" t="s">
        <v>19</v>
      </c>
      <c r="C6" s="20" t="s">
        <v>20</v>
      </c>
      <c r="D6" s="20" t="s">
        <v>21</v>
      </c>
      <c r="E6" s="20" t="s">
        <v>22</v>
      </c>
      <c r="F6" s="20" t="s">
        <v>23</v>
      </c>
      <c r="G6" s="22" t="s">
        <v>22</v>
      </c>
    </row>
    <row r="7" spans="2:11" ht="25.3" customHeight="1">
      <c r="B7" s="21" t="s">
        <v>24</v>
      </c>
      <c r="C7" s="20" t="s">
        <v>25</v>
      </c>
      <c r="D7" s="20" t="s">
        <v>26</v>
      </c>
      <c r="E7" s="20" t="s">
        <v>27</v>
      </c>
      <c r="F7" s="20" t="s">
        <v>28</v>
      </c>
      <c r="G7" s="22" t="s">
        <v>27</v>
      </c>
    </row>
    <row r="8" spans="2:11" ht="25.3" customHeight="1">
      <c r="B8" s="26" t="s">
        <v>29</v>
      </c>
      <c r="C8" s="27" t="s">
        <v>30</v>
      </c>
      <c r="D8" s="27" t="s">
        <v>31</v>
      </c>
      <c r="E8" s="27" t="s">
        <v>32</v>
      </c>
      <c r="F8" s="27" t="s">
        <v>33</v>
      </c>
      <c r="G8" s="28" t="s">
        <v>32</v>
      </c>
    </row>
    <row r="13" spans="2:11" ht="25.3" customHeight="1">
      <c r="G13" t="s">
        <v>61</v>
      </c>
      <c r="H13" s="34" t="s">
        <v>60</v>
      </c>
      <c r="I13" s="34"/>
      <c r="J13" s="34"/>
      <c r="K13" s="34"/>
    </row>
    <row r="14" spans="2:11">
      <c r="H14" s="15" t="s">
        <v>35</v>
      </c>
      <c r="I14" s="15" t="s">
        <v>36</v>
      </c>
      <c r="J14" s="15" t="s">
        <v>37</v>
      </c>
      <c r="K14" s="15" t="s">
        <v>38</v>
      </c>
    </row>
    <row r="15" spans="2:11" ht="22.3" customHeight="1">
      <c r="H15" s="18" t="s">
        <v>6</v>
      </c>
      <c r="I15" s="16" t="s">
        <v>39</v>
      </c>
      <c r="J15" s="17" t="s">
        <v>40</v>
      </c>
      <c r="K15" s="17" t="s">
        <v>41</v>
      </c>
    </row>
    <row r="16" spans="2:11">
      <c r="H16" s="18" t="s">
        <v>7</v>
      </c>
      <c r="I16" s="16" t="s">
        <v>42</v>
      </c>
      <c r="J16" s="16" t="s">
        <v>43</v>
      </c>
      <c r="K16" s="17" t="s">
        <v>44</v>
      </c>
    </row>
    <row r="17" spans="7:11">
      <c r="H17" s="18" t="s">
        <v>45</v>
      </c>
      <c r="I17" s="16" t="s">
        <v>46</v>
      </c>
      <c r="J17" s="16" t="s">
        <v>47</v>
      </c>
      <c r="K17" s="17" t="s">
        <v>48</v>
      </c>
    </row>
    <row r="18" spans="7:11">
      <c r="H18" s="18" t="s">
        <v>49</v>
      </c>
      <c r="I18" s="17" t="s">
        <v>50</v>
      </c>
      <c r="J18" s="17" t="s">
        <v>51</v>
      </c>
      <c r="K18" s="17" t="s">
        <v>52</v>
      </c>
    </row>
    <row r="19" spans="7:11">
      <c r="H19" s="18" t="s">
        <v>53</v>
      </c>
      <c r="I19" s="16" t="s">
        <v>54</v>
      </c>
      <c r="J19" s="16" t="s">
        <v>55</v>
      </c>
      <c r="K19" s="17" t="s">
        <v>56</v>
      </c>
    </row>
    <row r="20" spans="7:11">
      <c r="H20" s="19" t="s">
        <v>57</v>
      </c>
      <c r="I20" s="17" t="s">
        <v>58</v>
      </c>
      <c r="J20" s="17" t="s">
        <v>59</v>
      </c>
      <c r="K20" s="17" t="s">
        <v>33</v>
      </c>
    </row>
    <row r="24" spans="7:11" ht="31.75" customHeight="1">
      <c r="G24" t="s">
        <v>24</v>
      </c>
      <c r="H24" s="34" t="s">
        <v>60</v>
      </c>
      <c r="I24" s="34"/>
      <c r="J24" s="34"/>
      <c r="K24" s="34"/>
    </row>
    <row r="25" spans="7:11" ht="22.3" customHeight="1">
      <c r="H25" s="15" t="s">
        <v>35</v>
      </c>
      <c r="I25" s="17" t="s">
        <v>36</v>
      </c>
      <c r="J25" s="17" t="s">
        <v>37</v>
      </c>
      <c r="K25" s="17" t="s">
        <v>38</v>
      </c>
    </row>
    <row r="26" spans="7:11" ht="29.6" customHeight="1">
      <c r="H26" s="18" t="s">
        <v>6</v>
      </c>
      <c r="I26" s="16" t="s">
        <v>62</v>
      </c>
      <c r="J26" s="16" t="s">
        <v>47</v>
      </c>
      <c r="K26" s="17" t="s">
        <v>63</v>
      </c>
    </row>
    <row r="27" spans="7:11" ht="23.15" customHeight="1">
      <c r="H27" s="18" t="s">
        <v>7</v>
      </c>
      <c r="I27" s="16" t="s">
        <v>64</v>
      </c>
      <c r="J27" s="16" t="s">
        <v>65</v>
      </c>
      <c r="K27" s="17" t="s">
        <v>66</v>
      </c>
    </row>
    <row r="28" spans="7:11" ht="24" customHeight="1">
      <c r="H28" s="18" t="s">
        <v>45</v>
      </c>
      <c r="I28" s="16" t="s">
        <v>67</v>
      </c>
      <c r="J28" s="16" t="s">
        <v>68</v>
      </c>
      <c r="K28" s="17" t="s">
        <v>69</v>
      </c>
    </row>
    <row r="29" spans="7:11" ht="24.9" customHeight="1">
      <c r="H29" s="18" t="s">
        <v>49</v>
      </c>
      <c r="I29" s="17" t="s">
        <v>70</v>
      </c>
      <c r="J29" s="16" t="s">
        <v>71</v>
      </c>
      <c r="K29" s="17" t="s">
        <v>72</v>
      </c>
    </row>
    <row r="30" spans="7:11" ht="30" customHeight="1">
      <c r="H30" s="18" t="s">
        <v>53</v>
      </c>
      <c r="I30" s="16" t="s">
        <v>73</v>
      </c>
      <c r="J30" s="17" t="s">
        <v>74</v>
      </c>
      <c r="K30" s="17" t="s">
        <v>75</v>
      </c>
    </row>
    <row r="31" spans="7:11" ht="22.3" customHeight="1">
      <c r="H31" s="19" t="s">
        <v>57</v>
      </c>
      <c r="I31" s="17" t="s">
        <v>76</v>
      </c>
      <c r="J31" s="17" t="s">
        <v>77</v>
      </c>
      <c r="K31" s="17" t="s">
        <v>28</v>
      </c>
    </row>
    <row r="35" spans="7:11" ht="21.45" customHeight="1"/>
    <row r="36" spans="7:11" ht="33" customHeight="1">
      <c r="H36" s="34" t="s">
        <v>60</v>
      </c>
      <c r="I36" s="34"/>
      <c r="J36" s="34"/>
      <c r="K36" s="34"/>
    </row>
    <row r="37" spans="7:11" ht="32.6" customHeight="1">
      <c r="G37" t="s">
        <v>19</v>
      </c>
      <c r="H37" s="15" t="s">
        <v>35</v>
      </c>
      <c r="I37" s="17" t="s">
        <v>36</v>
      </c>
      <c r="J37" s="17" t="s">
        <v>37</v>
      </c>
      <c r="K37" s="17" t="s">
        <v>38</v>
      </c>
    </row>
    <row r="38" spans="7:11" ht="26.15" customHeight="1">
      <c r="H38" s="18" t="s">
        <v>6</v>
      </c>
      <c r="I38" s="16" t="s">
        <v>78</v>
      </c>
      <c r="J38" s="16" t="s">
        <v>79</v>
      </c>
      <c r="K38" s="17" t="s">
        <v>80</v>
      </c>
    </row>
    <row r="39" spans="7:11" ht="26.6" customHeight="1">
      <c r="H39" s="18" t="s">
        <v>7</v>
      </c>
      <c r="I39" s="16" t="s">
        <v>81</v>
      </c>
      <c r="J39" s="16" t="s">
        <v>82</v>
      </c>
      <c r="K39" s="17" t="s">
        <v>83</v>
      </c>
    </row>
    <row r="40" spans="7:11" ht="21.9" customHeight="1">
      <c r="H40" s="18" t="s">
        <v>45</v>
      </c>
      <c r="I40" s="16" t="s">
        <v>84</v>
      </c>
      <c r="J40" s="16" t="s">
        <v>85</v>
      </c>
      <c r="K40" s="17" t="s">
        <v>86</v>
      </c>
    </row>
    <row r="41" spans="7:11" ht="21.9" customHeight="1">
      <c r="H41" s="18" t="s">
        <v>49</v>
      </c>
      <c r="I41" s="16" t="s">
        <v>87</v>
      </c>
      <c r="J41" s="16" t="s">
        <v>88</v>
      </c>
      <c r="K41" s="17" t="s">
        <v>89</v>
      </c>
    </row>
    <row r="42" spans="7:11" ht="25.3" customHeight="1">
      <c r="H42" s="18" t="s">
        <v>53</v>
      </c>
      <c r="I42" s="16" t="s">
        <v>90</v>
      </c>
      <c r="J42" s="16" t="s">
        <v>91</v>
      </c>
      <c r="K42" s="17" t="s">
        <v>92</v>
      </c>
    </row>
    <row r="43" spans="7:11" ht="19.75" customHeight="1">
      <c r="H43" s="19" t="s">
        <v>57</v>
      </c>
      <c r="I43" s="17" t="s">
        <v>93</v>
      </c>
      <c r="J43" s="17" t="s">
        <v>94</v>
      </c>
      <c r="K43" s="17" t="s">
        <v>23</v>
      </c>
    </row>
  </sheetData>
  <mergeCells count="4">
    <mergeCell ref="B4:G4"/>
    <mergeCell ref="H13:K13"/>
    <mergeCell ref="H24:K24"/>
    <mergeCell ref="H36:K36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132FD-6A2F-47F4-87CC-565F1CE09972}">
  <dimension ref="C9:P50"/>
  <sheetViews>
    <sheetView topLeftCell="B7" workbookViewId="0">
      <selection activeCell="P43" sqref="P43"/>
    </sheetView>
  </sheetViews>
  <sheetFormatPr defaultRowHeight="14.15"/>
  <cols>
    <col min="3" max="3" width="9.140625" style="29"/>
    <col min="4" max="4" width="21.0703125" customWidth="1"/>
    <col min="5" max="5" width="10.92578125" customWidth="1"/>
    <col min="8" max="8" width="11.5" customWidth="1"/>
    <col min="9" max="9" width="10.85546875" customWidth="1"/>
    <col min="11" max="11" width="12" customWidth="1"/>
    <col min="12" max="12" width="11.92578125" customWidth="1"/>
    <col min="13" max="13" width="11.140625" customWidth="1"/>
    <col min="14" max="14" width="12.640625" customWidth="1"/>
    <col min="16" max="16" width="13" customWidth="1"/>
  </cols>
  <sheetData>
    <row r="9" spans="3:9" ht="26.6" customHeight="1">
      <c r="C9" s="36" t="s">
        <v>136</v>
      </c>
      <c r="D9" s="37"/>
      <c r="E9" s="37"/>
      <c r="F9" s="37"/>
      <c r="G9" s="37"/>
      <c r="H9" s="37"/>
      <c r="I9" s="37"/>
    </row>
    <row r="10" spans="3:9" ht="34.299999999999997" customHeight="1">
      <c r="C10" s="15" t="s">
        <v>95</v>
      </c>
      <c r="D10" s="15" t="s">
        <v>96</v>
      </c>
      <c r="E10" s="17" t="s">
        <v>36</v>
      </c>
      <c r="F10" s="17" t="s">
        <v>37</v>
      </c>
      <c r="G10" s="17" t="s">
        <v>97</v>
      </c>
      <c r="H10" s="17" t="s">
        <v>98</v>
      </c>
      <c r="I10" s="17" t="s">
        <v>99</v>
      </c>
    </row>
    <row r="11" spans="3:9" ht="30.9" customHeight="1">
      <c r="C11" s="15">
        <v>1</v>
      </c>
      <c r="D11" s="18" t="s">
        <v>100</v>
      </c>
      <c r="E11" s="16" t="s">
        <v>101</v>
      </c>
      <c r="F11" s="16" t="s">
        <v>102</v>
      </c>
      <c r="G11" s="16" t="s">
        <v>103</v>
      </c>
      <c r="H11" s="16" t="s">
        <v>104</v>
      </c>
      <c r="I11" s="16" t="s">
        <v>105</v>
      </c>
    </row>
    <row r="12" spans="3:9" ht="29.15" customHeight="1">
      <c r="C12" s="15">
        <v>2</v>
      </c>
      <c r="D12" s="18" t="s">
        <v>106</v>
      </c>
      <c r="E12" s="16" t="s">
        <v>107</v>
      </c>
      <c r="F12" s="16" t="s">
        <v>108</v>
      </c>
      <c r="G12" s="16" t="s">
        <v>109</v>
      </c>
      <c r="H12" s="16" t="s">
        <v>110</v>
      </c>
      <c r="I12" s="16" t="s">
        <v>111</v>
      </c>
    </row>
    <row r="13" spans="3:9" ht="24.9" customHeight="1">
      <c r="C13" s="15">
        <v>3</v>
      </c>
      <c r="D13" s="18" t="s">
        <v>135</v>
      </c>
      <c r="E13" s="16" t="s">
        <v>112</v>
      </c>
      <c r="F13" s="16" t="s">
        <v>113</v>
      </c>
      <c r="G13" s="16" t="s">
        <v>114</v>
      </c>
      <c r="H13" s="16" t="s">
        <v>115</v>
      </c>
      <c r="I13" s="17" t="s">
        <v>116</v>
      </c>
    </row>
    <row r="14" spans="3:9" ht="28.3">
      <c r="C14" s="15">
        <v>4</v>
      </c>
      <c r="D14" s="18" t="s">
        <v>117</v>
      </c>
      <c r="E14" s="16" t="s">
        <v>118</v>
      </c>
      <c r="F14" s="16" t="s">
        <v>119</v>
      </c>
      <c r="G14" s="16" t="s">
        <v>120</v>
      </c>
      <c r="H14" s="16" t="s">
        <v>121</v>
      </c>
      <c r="I14" s="16" t="s">
        <v>122</v>
      </c>
    </row>
    <row r="15" spans="3:9" ht="28.3">
      <c r="C15" s="15">
        <v>5</v>
      </c>
      <c r="D15" s="18" t="s">
        <v>123</v>
      </c>
      <c r="E15" s="16" t="s">
        <v>124</v>
      </c>
      <c r="F15" s="16" t="s">
        <v>125</v>
      </c>
      <c r="G15" s="16" t="s">
        <v>126</v>
      </c>
      <c r="H15" s="16" t="s">
        <v>127</v>
      </c>
      <c r="I15" s="16" t="s">
        <v>128</v>
      </c>
    </row>
    <row r="16" spans="3:9" ht="28.3">
      <c r="C16" s="15">
        <v>6</v>
      </c>
      <c r="D16" s="18" t="s">
        <v>129</v>
      </c>
      <c r="E16" s="17" t="s">
        <v>130</v>
      </c>
      <c r="F16" s="17" t="s">
        <v>131</v>
      </c>
      <c r="G16" s="17" t="s">
        <v>132</v>
      </c>
      <c r="H16" s="17" t="s">
        <v>133</v>
      </c>
      <c r="I16" s="16" t="s">
        <v>134</v>
      </c>
    </row>
    <row r="21" spans="12:12">
      <c r="L21" t="s">
        <v>137</v>
      </c>
    </row>
    <row r="22" spans="12:12">
      <c r="L22" t="s">
        <v>138</v>
      </c>
    </row>
    <row r="23" spans="12:12">
      <c r="L23" t="s">
        <v>139</v>
      </c>
    </row>
    <row r="25" spans="12:12">
      <c r="L25" t="s">
        <v>140</v>
      </c>
    </row>
    <row r="26" spans="12:12">
      <c r="L26" t="s">
        <v>141</v>
      </c>
    </row>
    <row r="27" spans="12:12">
      <c r="L27" t="s">
        <v>142</v>
      </c>
    </row>
    <row r="29" spans="12:12">
      <c r="L29" t="s">
        <v>143</v>
      </c>
    </row>
    <row r="30" spans="12:12">
      <c r="L30" t="s">
        <v>144</v>
      </c>
    </row>
    <row r="35" spans="11:16" ht="18">
      <c r="K35" s="38" t="s">
        <v>162</v>
      </c>
      <c r="L35" s="39"/>
      <c r="M35" s="39"/>
      <c r="N35" s="39"/>
    </row>
    <row r="36" spans="11:16">
      <c r="K36" s="15" t="s">
        <v>145</v>
      </c>
      <c r="L36" s="17" t="s">
        <v>146</v>
      </c>
      <c r="M36" s="17" t="s">
        <v>147</v>
      </c>
      <c r="N36" s="17" t="s">
        <v>148</v>
      </c>
    </row>
    <row r="37" spans="11:16">
      <c r="K37" s="18" t="s">
        <v>36</v>
      </c>
      <c r="L37" s="16" t="s">
        <v>124</v>
      </c>
      <c r="M37" s="17" t="s">
        <v>130</v>
      </c>
      <c r="N37" s="17" t="s">
        <v>149</v>
      </c>
    </row>
    <row r="38" spans="11:16">
      <c r="K38" s="18" t="s">
        <v>37</v>
      </c>
      <c r="L38" s="16" t="s">
        <v>125</v>
      </c>
      <c r="M38" s="17" t="s">
        <v>131</v>
      </c>
      <c r="N38" s="17" t="s">
        <v>150</v>
      </c>
    </row>
    <row r="39" spans="11:16">
      <c r="K39" s="18" t="s">
        <v>151</v>
      </c>
      <c r="L39" s="16" t="s">
        <v>152</v>
      </c>
      <c r="M39" s="17" t="s">
        <v>153</v>
      </c>
      <c r="N39" s="17" t="s">
        <v>154</v>
      </c>
    </row>
    <row r="40" spans="11:16">
      <c r="K40" s="18" t="s">
        <v>97</v>
      </c>
      <c r="L40" s="16" t="s">
        <v>126</v>
      </c>
      <c r="M40" s="17" t="s">
        <v>132</v>
      </c>
      <c r="N40" s="17" t="s">
        <v>155</v>
      </c>
    </row>
    <row r="41" spans="11:16">
      <c r="K41" s="18" t="s">
        <v>156</v>
      </c>
      <c r="L41" s="16" t="s">
        <v>157</v>
      </c>
      <c r="M41" s="17" t="s">
        <v>158</v>
      </c>
      <c r="N41" s="17" t="s">
        <v>159</v>
      </c>
    </row>
    <row r="42" spans="11:16">
      <c r="K42" s="18" t="s">
        <v>98</v>
      </c>
      <c r="L42" s="16" t="s">
        <v>127</v>
      </c>
      <c r="M42" s="17" t="s">
        <v>133</v>
      </c>
      <c r="N42" s="17" t="s">
        <v>160</v>
      </c>
    </row>
    <row r="43" spans="11:16">
      <c r="K43" s="18" t="s">
        <v>99</v>
      </c>
      <c r="L43" s="17" t="s">
        <v>128</v>
      </c>
      <c r="M43" s="16" t="s">
        <v>134</v>
      </c>
      <c r="N43" s="16" t="s">
        <v>161</v>
      </c>
    </row>
    <row r="46" spans="11:16" ht="17.600000000000001">
      <c r="K46" s="38" t="s">
        <v>178</v>
      </c>
      <c r="L46" s="37"/>
      <c r="M46" s="37"/>
      <c r="N46" s="37"/>
      <c r="O46" s="37"/>
      <c r="P46" s="37"/>
    </row>
    <row r="47" spans="11:16">
      <c r="K47" s="15" t="s">
        <v>35</v>
      </c>
      <c r="L47" s="17" t="s">
        <v>36</v>
      </c>
      <c r="M47" s="17" t="s">
        <v>37</v>
      </c>
      <c r="N47" s="17" t="s">
        <v>151</v>
      </c>
      <c r="O47" s="17" t="s">
        <v>97</v>
      </c>
      <c r="P47" s="17" t="s">
        <v>98</v>
      </c>
    </row>
    <row r="48" spans="11:16">
      <c r="K48" s="18" t="s">
        <v>6</v>
      </c>
      <c r="L48" s="16" t="s">
        <v>163</v>
      </c>
      <c r="M48" s="16" t="s">
        <v>164</v>
      </c>
      <c r="N48" s="16" t="s">
        <v>165</v>
      </c>
      <c r="O48" s="16" t="s">
        <v>166</v>
      </c>
      <c r="P48" s="16" t="s">
        <v>167</v>
      </c>
    </row>
    <row r="49" spans="11:16">
      <c r="K49" s="18" t="s">
        <v>45</v>
      </c>
      <c r="L49" s="17" t="s">
        <v>168</v>
      </c>
      <c r="M49" s="17" t="s">
        <v>169</v>
      </c>
      <c r="N49" s="17" t="s">
        <v>170</v>
      </c>
      <c r="O49" s="17" t="s">
        <v>171</v>
      </c>
      <c r="P49" s="17" t="s">
        <v>172</v>
      </c>
    </row>
    <row r="50" spans="11:16">
      <c r="K50" s="18" t="s">
        <v>53</v>
      </c>
      <c r="L50" s="16" t="s">
        <v>173</v>
      </c>
      <c r="M50" s="16" t="s">
        <v>174</v>
      </c>
      <c r="N50" s="16" t="s">
        <v>175</v>
      </c>
      <c r="O50" s="16" t="s">
        <v>176</v>
      </c>
      <c r="P50" s="16" t="s">
        <v>177</v>
      </c>
    </row>
  </sheetData>
  <mergeCells count="3">
    <mergeCell ref="C9:I9"/>
    <mergeCell ref="K35:N35"/>
    <mergeCell ref="K46:P46"/>
  </mergeCell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 Comparison</vt:lpstr>
      <vt:lpstr>figure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KIM LONG</cp:lastModifiedBy>
  <dcterms:modified xsi:type="dcterms:W3CDTF">2026-09-21T17:27:50Z</dcterms:modified>
</cp:coreProperties>
</file>